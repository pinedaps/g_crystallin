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<sst xmlns="http://schemas.openxmlformats.org/spreadsheetml/2006/main" count="29" uniqueCount="29">
  <si>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Residue</t>
  </si>
  <si>
    <t xml:space="preserve">Average</t>
  </si>
  <si>
    <t xml:space="preserve">Reference:</t>
  </si>
  <si>
    <t xml:space="preserve">Ala</t>
  </si>
  <si>
    <t xml:space="preserve">10.1016/S0301-4622(98)00095-7</t>
  </si>
  <si>
    <t xml:space="preserve">Arg</t>
  </si>
  <si>
    <t xml:space="preserve">Units </t>
  </si>
  <si>
    <t xml:space="preserve">Asn</t>
  </si>
  <si>
    <t xml:space="preserve">T</t>
  </si>
  <si>
    <t xml:space="preserve"> C</t>
  </si>
  <si>
    <t xml:space="preserve">Asp</t>
  </si>
  <si>
    <t xml:space="preserve">Cp</t>
  </si>
  <si>
    <t xml:space="preserve">J/K/mol</t>
  </si>
  <si>
    <t xml:space="preserve">Cys</t>
  </si>
  <si>
    <t xml:space="preserve">Gln</t>
  </si>
  <si>
    <t xml:space="preserve">Glu</t>
  </si>
  <si>
    <t xml:space="preserve">Gly</t>
  </si>
  <si>
    <t xml:space="preserve">His</t>
  </si>
  <si>
    <t xml:space="preserve">Ile</t>
  </si>
  <si>
    <t xml:space="preserve">Leu</t>
  </si>
  <si>
    <t xml:space="preserve">Lys</t>
  </si>
  <si>
    <t xml:space="preserve">Met</t>
  </si>
  <si>
    <t xml:space="preserve">Phe</t>
  </si>
  <si>
    <t xml:space="preserve">Pro</t>
  </si>
  <si>
    <t xml:space="preserve">Ser</t>
  </si>
  <si>
    <t xml:space="preserve">Thr</t>
  </si>
  <si>
    <t xml:space="preserve">Trp</t>
  </si>
  <si>
    <t xml:space="preserve">Tyr</t>
  </si>
  <si>
    <t xml:space="preserve">Val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</si>
</sst>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2" activeCellId="0" sqref="H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33"/>
    <col collapsed="false" customWidth="true" hidden="false" outlineLevel="0" max="8" min="8" style="1" width="18.13"/>
    <col collapsed="false" customWidth="true" hidden="false" outlineLevel="0" max="9" min="9" style="1" width="15.89"/>
  </cols>
  <sheetData>
    <row r="1" customFormat="false" ht="13.8" hidden="false" customHeight="false" outlineLevel="0" collapsed="false">
      <c r="A1" s="2" t="s">
        <v>0</v>
      </c>
      <c r="B1" s="2" t="n">
        <v>5</v>
      </c>
      <c r="C1" s="2" t="n">
        <v>25</v>
      </c>
      <c r="D1" s="2" t="n">
        <v>50</v>
      </c>
      <c r="E1" s="2" t="n">
        <v>75</v>
      </c>
      <c r="F1" s="2" t="n">
        <v>100</v>
      </c>
      <c r="G1" s="2" t="n">
        <v>125</v>
      </c>
      <c r="H1" s="3" t="s">
        <v>1</v>
      </c>
      <c r="I1" s="4" t="s">
        <v>2</v>
      </c>
      <c r="J1" s="4"/>
      <c r="K1" s="4"/>
    </row>
    <row r="2" customFormat="false" ht="13.8" hidden="false" customHeight="false" outlineLevel="0" collapsed="false">
      <c r="A2" s="4" t="s">
        <v>3</v>
      </c>
      <c r="B2" s="4" t="n">
        <v>179.4</v>
      </c>
      <c r="C2" s="5" t="n">
        <v>181.9</v>
      </c>
      <c r="D2" s="5" t="n">
        <v>182.4</v>
      </c>
      <c r="E2" s="5" t="n">
        <v>174.5</v>
      </c>
      <c r="F2" s="4" t="n">
        <v>168.3</v>
      </c>
      <c r="G2" s="4" t="n">
        <v>157.8</v>
      </c>
      <c r="H2" s="6" t="n">
        <f aca="false">AVERAGE(C2:E2)</f>
        <v>179.6</v>
      </c>
      <c r="I2" s="1" t="s">
        <v>4</v>
      </c>
    </row>
    <row r="3" customFormat="false" ht="13.8" hidden="false" customHeight="false" outlineLevel="0" collapsed="false">
      <c r="A3" s="4" t="s">
        <v>5</v>
      </c>
      <c r="B3" s="4" t="n">
        <v>208.3</v>
      </c>
      <c r="C3" s="5" t="n">
        <v>288.6</v>
      </c>
      <c r="D3" s="5" t="n">
        <v>332</v>
      </c>
      <c r="E3" s="5" t="n">
        <v>344.9</v>
      </c>
      <c r="F3" s="4" t="n">
        <v>352.4</v>
      </c>
      <c r="G3" s="4" t="n">
        <v>352.2</v>
      </c>
      <c r="H3" s="6" t="n">
        <f aca="false">AVERAGE(C3:E3)</f>
        <v>321.833333333333</v>
      </c>
      <c r="I3" s="1" t="s">
        <v>6</v>
      </c>
    </row>
    <row r="4" customFormat="false" ht="13.8" hidden="false" customHeight="false" outlineLevel="0" collapsed="false">
      <c r="A4" s="4" t="s">
        <v>7</v>
      </c>
      <c r="B4" s="4" t="n">
        <v>76.6</v>
      </c>
      <c r="C4" s="5" t="n">
        <v>104</v>
      </c>
      <c r="D4" s="5" t="n">
        <v>136</v>
      </c>
      <c r="E4" s="5" t="n">
        <v>155</v>
      </c>
      <c r="F4" s="4" t="n">
        <v>174.2</v>
      </c>
      <c r="G4" s="4" t="n">
        <v>187.9</v>
      </c>
      <c r="H4" s="6" t="n">
        <f aca="false">AVERAGE(C4:E4)</f>
        <v>131.666666666667</v>
      </c>
      <c r="I4" s="1" t="s">
        <v>8</v>
      </c>
      <c r="J4" s="1" t="s">
        <v>9</v>
      </c>
    </row>
    <row r="5" customFormat="false" ht="13.8" hidden="false" customHeight="false" outlineLevel="0" collapsed="false">
      <c r="A5" s="4" t="s">
        <v>10</v>
      </c>
      <c r="B5" s="4" t="n">
        <v>76.5</v>
      </c>
      <c r="C5" s="5" t="n">
        <v>104.2</v>
      </c>
      <c r="D5" s="5" t="n">
        <v>132.4</v>
      </c>
      <c r="E5" s="5" t="n">
        <v>154.3</v>
      </c>
      <c r="F5" s="4" t="n">
        <v>174.4</v>
      </c>
      <c r="G5" s="4" t="n">
        <v>188</v>
      </c>
      <c r="H5" s="6" t="n">
        <f aca="false">AVERAGE(C5:E5)</f>
        <v>130.3</v>
      </c>
      <c r="I5" s="1" t="s">
        <v>11</v>
      </c>
      <c r="J5" s="1" t="s">
        <v>12</v>
      </c>
    </row>
    <row r="6" customFormat="false" ht="13.8" hidden="false" customHeight="false" outlineLevel="0" collapsed="false">
      <c r="A6" s="4" t="s">
        <v>13</v>
      </c>
      <c r="B6" s="4" t="n">
        <v>229.1</v>
      </c>
      <c r="C6" s="5" t="n">
        <v>252.8</v>
      </c>
      <c r="D6" s="5" t="n">
        <v>277</v>
      </c>
      <c r="E6" s="5" t="n">
        <v>290.5</v>
      </c>
      <c r="F6" s="4" t="n">
        <v>301.9</v>
      </c>
      <c r="G6" s="4" t="n">
        <v>309.8</v>
      </c>
      <c r="H6" s="6" t="n">
        <f aca="false">AVERAGE(C6:E6)</f>
        <v>273.433333333333</v>
      </c>
      <c r="I6" s="6"/>
    </row>
    <row r="7" customFormat="false" ht="13.8" hidden="false" customHeight="false" outlineLevel="0" collapsed="false">
      <c r="A7" s="4" t="s">
        <v>14</v>
      </c>
      <c r="B7" s="4" t="n">
        <v>171.7</v>
      </c>
      <c r="C7" s="5" t="n">
        <v>195.4</v>
      </c>
      <c r="D7" s="5" t="n">
        <v>219.6</v>
      </c>
      <c r="E7" s="5" t="n">
        <v>233.1</v>
      </c>
      <c r="F7" s="4" t="n">
        <v>244.5</v>
      </c>
      <c r="G7" s="4" t="n">
        <v>252.4</v>
      </c>
      <c r="H7" s="6" t="n">
        <f aca="false">AVERAGE(C7:E7)</f>
        <v>216.033333333333</v>
      </c>
      <c r="I7" s="6"/>
    </row>
    <row r="8" customFormat="false" ht="13.8" hidden="false" customHeight="false" outlineLevel="0" collapsed="false">
      <c r="A8" s="4" t="s">
        <v>15</v>
      </c>
      <c r="B8" s="4" t="n">
        <v>172</v>
      </c>
      <c r="C8" s="5" t="n">
        <v>194.2</v>
      </c>
      <c r="D8" s="5" t="n">
        <v>218.2</v>
      </c>
      <c r="E8" s="5" t="n">
        <v>233.5</v>
      </c>
      <c r="F8" s="4" t="n">
        <v>245.1</v>
      </c>
      <c r="G8" s="4" t="n">
        <v>251.5</v>
      </c>
      <c r="H8" s="6" t="n">
        <f aca="false">AVERAGE(C8:E8)</f>
        <v>215.3</v>
      </c>
      <c r="I8" s="6"/>
    </row>
    <row r="9" customFormat="false" ht="13.8" hidden="false" customHeight="false" outlineLevel="0" collapsed="false">
      <c r="A9" s="4" t="s">
        <v>16</v>
      </c>
      <c r="B9" s="4" t="n">
        <v>86</v>
      </c>
      <c r="C9" s="5" t="n">
        <v>93.2</v>
      </c>
      <c r="D9" s="5" t="n">
        <v>97.9</v>
      </c>
      <c r="E9" s="5" t="n">
        <v>96.2</v>
      </c>
      <c r="F9" s="4" t="n">
        <v>93.4</v>
      </c>
      <c r="G9" s="4" t="n">
        <v>87.6</v>
      </c>
      <c r="H9" s="6" t="n">
        <f aca="false">AVERAGE(C9:E9)</f>
        <v>95.7666666666667</v>
      </c>
      <c r="I9" s="6"/>
    </row>
    <row r="10" customFormat="false" ht="13.8" hidden="false" customHeight="false" outlineLevel="0" collapsed="false">
      <c r="A10" s="4" t="s">
        <v>17</v>
      </c>
      <c r="B10" s="4" t="n">
        <v>209.4</v>
      </c>
      <c r="C10" s="5" t="n">
        <v>194.8</v>
      </c>
      <c r="D10" s="5" t="n">
        <v>203.4</v>
      </c>
      <c r="E10" s="5" t="n">
        <v>209.4</v>
      </c>
      <c r="F10" s="4" t="n">
        <v>220.8</v>
      </c>
      <c r="G10" s="4" t="n">
        <v>230.5</v>
      </c>
      <c r="H10" s="6" t="n">
        <f aca="false">AVERAGE(C10:E10)</f>
        <v>202.533333333333</v>
      </c>
      <c r="I10" s="6"/>
    </row>
    <row r="11" customFormat="false" ht="13.8" hidden="false" customHeight="false" outlineLevel="0" collapsed="false">
      <c r="A11" s="4" t="s">
        <v>18</v>
      </c>
      <c r="B11" s="4" t="n">
        <v>410.5</v>
      </c>
      <c r="C11" s="5" t="n">
        <v>417.5</v>
      </c>
      <c r="D11" s="5" t="n">
        <v>423.3</v>
      </c>
      <c r="E11" s="5" t="n">
        <v>420.6</v>
      </c>
      <c r="F11" s="4" t="n">
        <v>419.7</v>
      </c>
      <c r="G11" s="4" t="n">
        <v>414.5</v>
      </c>
      <c r="H11" s="6" t="n">
        <f aca="false">AVERAGE(C11:E11)</f>
        <v>420.466666666667</v>
      </c>
      <c r="I11" s="6"/>
    </row>
    <row r="12" customFormat="false" ht="13.8" hidden="false" customHeight="false" outlineLevel="0" collapsed="false">
      <c r="A12" s="4" t="s">
        <v>19</v>
      </c>
      <c r="B12" s="4" t="n">
        <v>389.6</v>
      </c>
      <c r="C12" s="5" t="n">
        <v>396.9</v>
      </c>
      <c r="D12" s="5" t="n">
        <v>404</v>
      </c>
      <c r="E12" s="5" t="n">
        <v>402.7</v>
      </c>
      <c r="F12" s="4" t="n">
        <v>403.1</v>
      </c>
      <c r="G12" s="4" t="n">
        <v>399.2</v>
      </c>
      <c r="H12" s="6" t="n">
        <f aca="false">AVERAGE(C12:E12)</f>
        <v>401.2</v>
      </c>
      <c r="I12" s="6"/>
    </row>
    <row r="13" customFormat="false" ht="13.8" hidden="false" customHeight="false" outlineLevel="0" collapsed="false">
      <c r="A13" s="4" t="s">
        <v>20</v>
      </c>
      <c r="B13" s="4" t="n">
        <v>218.8</v>
      </c>
      <c r="C13" s="5" t="n">
        <v>265</v>
      </c>
      <c r="D13" s="5" t="n">
        <v>293.1</v>
      </c>
      <c r="E13" s="5" t="n">
        <v>304.2</v>
      </c>
      <c r="F13" s="4" t="n">
        <v>311.8</v>
      </c>
      <c r="G13" s="4" t="n">
        <v>308.1</v>
      </c>
      <c r="H13" s="6" t="n">
        <f aca="false">AVERAGE(C13:E13)</f>
        <v>287.433333333333</v>
      </c>
      <c r="I13" s="6"/>
    </row>
    <row r="14" customFormat="false" ht="13.8" hidden="false" customHeight="false" outlineLevel="0" collapsed="false">
      <c r="A14" s="4" t="s">
        <v>21</v>
      </c>
      <c r="B14" s="4" t="n">
        <v>200.8</v>
      </c>
      <c r="C14" s="5" t="n">
        <v>194.7</v>
      </c>
      <c r="D14" s="5" t="n">
        <v>184.3</v>
      </c>
      <c r="E14" s="5" t="n">
        <v>180.1</v>
      </c>
      <c r="F14" s="4" t="n">
        <v>181.8</v>
      </c>
      <c r="G14" s="4" t="n">
        <v>177.6</v>
      </c>
      <c r="H14" s="6" t="n">
        <f aca="false">AVERAGE(C14:E14)</f>
        <v>186.366666666667</v>
      </c>
      <c r="I14" s="6"/>
    </row>
    <row r="15" customFormat="false" ht="13.8" hidden="false" customHeight="false" outlineLevel="0" collapsed="false">
      <c r="A15" s="4" t="s">
        <v>22</v>
      </c>
      <c r="B15" s="4" t="n">
        <v>399.4</v>
      </c>
      <c r="C15" s="5" t="n">
        <v>398.2</v>
      </c>
      <c r="D15" s="5" t="n">
        <v>396.5</v>
      </c>
      <c r="E15" s="5" t="n">
        <v>388.2</v>
      </c>
      <c r="F15" s="4" t="n">
        <v>382</v>
      </c>
      <c r="G15" s="4" t="n">
        <v>373.3</v>
      </c>
      <c r="H15" s="6" t="n">
        <f aca="false">AVERAGE(C15:E15)</f>
        <v>394.3</v>
      </c>
      <c r="I15" s="6"/>
    </row>
    <row r="16" customFormat="false" ht="13.8" hidden="false" customHeight="false" outlineLevel="0" collapsed="false">
      <c r="A16" s="4" t="s">
        <v>23</v>
      </c>
      <c r="B16" s="4" t="n">
        <v>218.3</v>
      </c>
      <c r="C16" s="5" t="n">
        <v>192.9</v>
      </c>
      <c r="D16" s="5" t="n">
        <v>178.5</v>
      </c>
      <c r="E16" s="5" t="n">
        <v>172.6</v>
      </c>
      <c r="F16" s="4" t="n">
        <v>169.3</v>
      </c>
      <c r="G16" s="4" t="n">
        <v>163.8</v>
      </c>
      <c r="H16" s="6" t="n">
        <f aca="false">AVERAGE(C16:E16)</f>
        <v>181.333333333333</v>
      </c>
      <c r="I16" s="6"/>
    </row>
    <row r="17" customFormat="false" ht="13.8" hidden="false" customHeight="false" outlineLevel="0" collapsed="false">
      <c r="A17" s="4" t="s">
        <v>24</v>
      </c>
      <c r="B17" s="4" t="n">
        <v>79.3</v>
      </c>
      <c r="C17" s="5" t="n">
        <v>96.8</v>
      </c>
      <c r="D17" s="5" t="n">
        <v>111.9</v>
      </c>
      <c r="E17" s="5" t="n">
        <v>121.2</v>
      </c>
      <c r="F17" s="4" t="n">
        <v>131</v>
      </c>
      <c r="G17" s="4" t="n">
        <v>135.8</v>
      </c>
      <c r="H17" s="6" t="n">
        <f aca="false">AVERAGE(C17:E17)</f>
        <v>109.966666666667</v>
      </c>
      <c r="I17" s="6"/>
    </row>
    <row r="18" customFormat="false" ht="13.8" hidden="false" customHeight="false" outlineLevel="0" collapsed="false">
      <c r="A18" s="4" t="s">
        <v>25</v>
      </c>
      <c r="B18" s="4" t="n">
        <v>197.9</v>
      </c>
      <c r="C18" s="5" t="n">
        <v>199.7</v>
      </c>
      <c r="D18" s="5" t="n">
        <v>209</v>
      </c>
      <c r="E18" s="5" t="n">
        <v>216.3</v>
      </c>
      <c r="F18" s="4" t="n">
        <v>232.7</v>
      </c>
      <c r="G18" s="4" t="n">
        <v>249.9</v>
      </c>
      <c r="H18" s="6" t="n">
        <f aca="false">AVERAGE(C18:E18)</f>
        <v>208.333333333333</v>
      </c>
      <c r="I18" s="6"/>
    </row>
    <row r="19" customFormat="false" ht="13.8" hidden="false" customHeight="false" outlineLevel="0" collapsed="false">
      <c r="A19" s="4" t="s">
        <v>26</v>
      </c>
      <c r="B19" s="4" t="n">
        <v>474.9</v>
      </c>
      <c r="C19" s="5" t="n">
        <v>473.7</v>
      </c>
      <c r="D19" s="5" t="n">
        <v>472</v>
      </c>
      <c r="E19" s="5" t="n">
        <v>463.7</v>
      </c>
      <c r="F19" s="4" t="n">
        <v>457</v>
      </c>
      <c r="G19" s="4" t="n">
        <v>448.8</v>
      </c>
      <c r="H19" s="6" t="n">
        <f aca="false">AVERAGE(C19:E19)</f>
        <v>469.8</v>
      </c>
      <c r="I19" s="6"/>
    </row>
    <row r="20" customFormat="false" ht="13.8" hidden="false" customHeight="false" outlineLevel="0" collapsed="false">
      <c r="A20" s="4" t="s">
        <v>27</v>
      </c>
      <c r="B20" s="4" t="n">
        <v>314.3</v>
      </c>
      <c r="C20" s="5" t="n">
        <v>316.9</v>
      </c>
      <c r="D20" s="5" t="n">
        <v>321.4</v>
      </c>
      <c r="E20" s="5" t="n">
        <v>324.3</v>
      </c>
      <c r="F20" s="4" t="n">
        <v>333.8</v>
      </c>
      <c r="G20" s="4" t="n">
        <v>337.7</v>
      </c>
      <c r="H20" s="6" t="n">
        <f aca="false">AVERAGE(C20:E20)</f>
        <v>320.866666666667</v>
      </c>
      <c r="I20" s="6"/>
    </row>
    <row r="21" customFormat="false" ht="13.8" hidden="false" customHeight="false" outlineLevel="0" collapsed="false">
      <c r="A21" s="4" t="s">
        <v>28</v>
      </c>
      <c r="B21" s="4" t="n">
        <v>328.3</v>
      </c>
      <c r="C21" s="5" t="n">
        <v>329.6</v>
      </c>
      <c r="D21" s="5" t="n">
        <v>332.1</v>
      </c>
      <c r="E21" s="5" t="n">
        <v>324.5</v>
      </c>
      <c r="F21" s="4" t="n">
        <v>319.4</v>
      </c>
      <c r="G21" s="4" t="n">
        <v>303.3</v>
      </c>
      <c r="H21" s="6" t="n">
        <f aca="false">AVERAGE(C21:E21)</f>
        <v>328.733333333333</v>
      </c>
      <c r="I21" s="6"/>
    </row>
    <row r="22" customFormat="false" ht="13.8" hidden="false" customHeight="false" outlineLevel="0" collapsed="false">
      <c r="H22" s="6"/>
      <c r="I22" s="6"/>
    </row>
    <row r="23" customFormat="false" ht="13.8" hidden="false" customHeight="false" outlineLevel="0" collapsed="false">
      <c r="D23" s="4"/>
      <c r="E23" s="4"/>
      <c r="F23" s="4"/>
      <c r="G23" s="4"/>
    </row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2025-11-12T14:27:27Z</dcterms:created>
  <dc:creator/>
  <dc:description/>
  <dc:language>en-US</dc:language>
  <cp:lastModifiedBy/>
  <dcterms:modified xsi:type="dcterms:W3CDTF">2025-11-14T20:07:41Z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
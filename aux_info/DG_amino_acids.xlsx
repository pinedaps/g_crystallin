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" authorId="0">
      <text>
        <r>
          <rPr>
            <sz val="11"/>
            <color rgb="FF000000"/>
            <rFont val="Calibri"/>
            <family val="2"/>
            <charset val="1"/>
          </rPr>
          <t xml:space="preserve">Not reported, I copied the value from the Lys</t>
        </r>
      </text>
    </comment>
  </commentList>
</comments>
</file>

<file path=xl/sharedStrings.xml><?xml version="1.0" encoding="utf-8"?>
<sst xmlns="http://schemas.openxmlformats.org/spreadsheetml/2006/main" count="44" uniqueCount="37">
  <si>
    <t xml:space="preserve">Residue</t>
  </si>
  <si>
    <t xml:space="preserve">log10(K) uncharged</t>
  </si>
  <si>
    <t xml:space="preserve">DeltaG [J/mol]</t>
  </si>
  <si>
    <t xml:space="preserve">DeltaCp [J/K/mol]</t>
  </si>
  <si>
    <t xml:space="preserve">DeltaCp/DeltaG [1/K]</t>
  </si>
  <si>
    <t xml:space="preserve">Ala</t>
  </si>
  <si>
    <t xml:space="preserve">X</t>
  </si>
  <si>
    <t xml:space="preserve">Arg</t>
  </si>
  <si>
    <t xml:space="preserve">ArgH</t>
  </si>
  <si>
    <t xml:space="preserve">Asn</t>
  </si>
  <si>
    <t xml:space="preserve">AspH</t>
  </si>
  <si>
    <t xml:space="preserve">Asp</t>
  </si>
  <si>
    <t xml:space="preserve">Cys</t>
  </si>
  <si>
    <t xml:space="preserve">CysH</t>
  </si>
  <si>
    <t xml:space="preserve">Gln</t>
  </si>
  <si>
    <t xml:space="preserve">GluH</t>
  </si>
  <si>
    <t xml:space="preserve">Glu</t>
  </si>
  <si>
    <t xml:space="preserve">Gly</t>
  </si>
  <si>
    <t xml:space="preserve">His</t>
  </si>
  <si>
    <t xml:space="preserve">HisH</t>
  </si>
  <si>
    <t xml:space="preserve">Ile</t>
  </si>
  <si>
    <t xml:space="preserve">Leu</t>
  </si>
  <si>
    <t xml:space="preserve">Lys</t>
  </si>
  <si>
    <t xml:space="preserve">LysH</t>
  </si>
  <si>
    <t xml:space="preserve">Met</t>
  </si>
  <si>
    <t xml:space="preserve">Phe</t>
  </si>
  <si>
    <t xml:space="preserve">Pro</t>
  </si>
  <si>
    <t xml:space="preserve">Ser</t>
  </si>
  <si>
    <t xml:space="preserve">Thr</t>
  </si>
  <si>
    <t xml:space="preserve">Trp</t>
  </si>
  <si>
    <t xml:space="preserve">Tyr</t>
  </si>
  <si>
    <t xml:space="preserve">Val</t>
  </si>
  <si>
    <t xml:space="preserve">Reference:</t>
  </si>
  <si>
    <t xml:space="preserve">10.1016/S0021-9673(00)82337-7</t>
  </si>
  <si>
    <t xml:space="preserve">T [K]</t>
  </si>
  <si>
    <t xml:space="preserve">Not sure but I assumed it</t>
  </si>
  <si>
    <t xml:space="preserve">R [J/mol/K]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</si>
</sst>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6F9D4"/>
        <bgColor rgb="FFFFFFFF"/>
      </patternFill>
    </fill>
    <fill>
      <patternFill patternType="solid">
        <fgColor rgb="FFFFA6A6"/>
        <bgColor rgb="FFFFCC99"/>
      </patternFill>
    </fill>
    <fill>
      <patternFill patternType="solid">
        <fgColor rgb="FFFFFFA6"/>
        <bgColor rgb="FFF6F9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29" activeCellId="0" sqref="F29"/>
    </sheetView>
  </sheetViews>
  <sheetFormatPr defaultColWidth="8.6796875" defaultRowHeight="13.8" zeroHeight="false" outlineLevelRow="0" outlineLevelCol="0"/>
  <cols>
    <col collapsed="false" customWidth="true" hidden="false" outlineLevel="0" max="1" min="1" style="1" width="10.33"/>
    <col collapsed="false" customWidth="true" hidden="false" outlineLevel="0" max="2" min="2" style="1" width="18.4"/>
    <col collapsed="false" customWidth="true" hidden="false" outlineLevel="0" max="3" min="3" style="1" width="16.17"/>
    <col collapsed="false" customWidth="true" hidden="false" outlineLevel="0" max="4" min="4" style="1" width="18.82"/>
    <col collapsed="false" customWidth="true" hidden="false" outlineLevel="0" max="5" min="5" style="1" width="21.74"/>
    <col collapsed="false" customWidth="true" hidden="false" outlineLevel="0" max="6" min="6" style="2" width="17.52"/>
    <col collapsed="false" customWidth="true" hidden="false" outlineLevel="0" max="8" min="8" style="1" width="18.13"/>
    <col collapsed="false" customWidth="true" hidden="false" outlineLevel="0" max="9" min="9" style="1" width="15.89"/>
  </cols>
  <sheetData>
    <row r="1" customFormat="false" ht="13.8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/>
      <c r="G1" s="3"/>
    </row>
    <row r="2" customFormat="false" ht="13.8" hidden="false" customHeight="false" outlineLevel="0" collapsed="false">
      <c r="A2" s="5" t="s">
        <v>5</v>
      </c>
      <c r="B2" s="2" t="n">
        <v>0.4</v>
      </c>
      <c r="C2" s="2" t="n">
        <f aca="false">LN(10)*$B$32*$B$31*B2</f>
        <v>2243.76543337495</v>
      </c>
      <c r="D2" s="5" t="n">
        <v>179.6</v>
      </c>
      <c r="E2" s="5" t="n">
        <f aca="false">D2/C2</f>
        <v>0.0800440176716046</v>
      </c>
      <c r="F2" s="6" t="s">
        <v>6</v>
      </c>
      <c r="G2" s="5"/>
      <c r="H2" s="2"/>
    </row>
    <row r="3" customFormat="false" ht="13.8" hidden="false" customHeight="false" outlineLevel="0" collapsed="false">
      <c r="A3" s="5" t="s">
        <v>7</v>
      </c>
      <c r="B3" s="7" t="n">
        <v>-0.12</v>
      </c>
      <c r="C3" s="2" t="n">
        <f aca="false">LN(10)*$B$32*$B$31*B3</f>
        <v>-673.129630012486</v>
      </c>
      <c r="D3" s="8" t="n">
        <v>321.833333333333</v>
      </c>
      <c r="E3" s="5" t="n">
        <f aca="false">D3/C3</f>
        <v>-0.47811494099192</v>
      </c>
      <c r="F3" s="6"/>
      <c r="G3" s="5"/>
      <c r="H3" s="2"/>
    </row>
    <row r="4" customFormat="false" ht="13.8" hidden="false" customHeight="false" outlineLevel="0" collapsed="false">
      <c r="A4" s="5" t="s">
        <v>8</v>
      </c>
      <c r="B4" s="2" t="n">
        <v>-0.9</v>
      </c>
      <c r="C4" s="2" t="n">
        <f aca="false">LN(10)*$B$32*$B$31*B4</f>
        <v>-5048.47222509364</v>
      </c>
      <c r="D4" s="8" t="n">
        <v>321.833333333333</v>
      </c>
      <c r="E4" s="5" t="n">
        <f aca="false">D4/C4</f>
        <v>-0.0637486587989228</v>
      </c>
      <c r="F4" s="6"/>
      <c r="G4" s="5"/>
      <c r="H4" s="2"/>
    </row>
    <row r="5" customFormat="false" ht="13.8" hidden="false" customHeight="false" outlineLevel="0" collapsed="false">
      <c r="A5" s="5" t="s">
        <v>9</v>
      </c>
      <c r="B5" s="2" t="n">
        <v>-0.16</v>
      </c>
      <c r="C5" s="2" t="n">
        <f aca="false">LN(10)*$B$32*$B$31*B5</f>
        <v>-897.506173349981</v>
      </c>
      <c r="D5" s="5" t="n">
        <v>131.666666666667</v>
      </c>
      <c r="E5" s="5" t="n">
        <f aca="false">D5/C5</f>
        <v>-0.146702797792705</v>
      </c>
      <c r="F5" s="6"/>
      <c r="G5" s="5"/>
      <c r="H5" s="2"/>
    </row>
    <row r="6" customFormat="false" ht="13.8" hidden="false" customHeight="false" outlineLevel="0" collapsed="false">
      <c r="A6" s="5" t="s">
        <v>10</v>
      </c>
      <c r="B6" s="2" t="n">
        <v>-0.07</v>
      </c>
      <c r="C6" s="2" t="n">
        <f aca="false">LN(10)*$B$32*$B$31*B6</f>
        <v>-392.658950840617</v>
      </c>
      <c r="D6" s="5" t="n">
        <v>130.3</v>
      </c>
      <c r="E6" s="5" t="n">
        <f aca="false">D6/C6</f>
        <v>-0.331840136895007</v>
      </c>
      <c r="F6" s="6"/>
      <c r="G6" s="5"/>
      <c r="H6" s="2"/>
    </row>
    <row r="7" customFormat="false" ht="13.8" hidden="false" customHeight="false" outlineLevel="0" collapsed="false">
      <c r="A7" s="5" t="s">
        <v>11</v>
      </c>
      <c r="B7" s="2" t="n">
        <v>-1.05</v>
      </c>
      <c r="C7" s="2" t="n">
        <f aca="false">LN(10)*$B$32*$B$31*B7</f>
        <v>-5889.88426260925</v>
      </c>
      <c r="D7" s="5" t="n">
        <v>130.3</v>
      </c>
      <c r="E7" s="5" t="n">
        <f aca="false">D7/C7</f>
        <v>-0.0221226757930005</v>
      </c>
      <c r="F7" s="6"/>
      <c r="G7" s="5"/>
      <c r="H7" s="2"/>
    </row>
    <row r="8" customFormat="false" ht="13.8" hidden="false" customHeight="false" outlineLevel="0" collapsed="false">
      <c r="A8" s="5" t="s">
        <v>12</v>
      </c>
      <c r="B8" s="2" t="n">
        <v>0.82</v>
      </c>
      <c r="C8" s="2" t="n">
        <f aca="false">LN(10)*$B$32*$B$31*B8</f>
        <v>4599.71913841865</v>
      </c>
      <c r="D8" s="5" t="n">
        <v>273.433333333333</v>
      </c>
      <c r="E8" s="5" t="n">
        <f aca="false">D8/C8</f>
        <v>0.0594456585510865</v>
      </c>
      <c r="F8" s="6"/>
      <c r="G8" s="5"/>
      <c r="H8" s="2"/>
    </row>
    <row r="9" customFormat="false" ht="13.8" hidden="false" customHeight="false" outlineLevel="0" collapsed="false">
      <c r="A9" s="5" t="s">
        <v>13</v>
      </c>
      <c r="B9" s="2" t="n">
        <v>-0.39</v>
      </c>
      <c r="C9" s="2" t="n">
        <f aca="false">LN(10)*$B$32*$B$31*B9</f>
        <v>-2187.67129754058</v>
      </c>
      <c r="D9" s="5" t="n">
        <v>273.433333333333</v>
      </c>
      <c r="E9" s="5" t="n">
        <f aca="false">D9/C9</f>
        <v>-0.124988307722797</v>
      </c>
      <c r="F9" s="6"/>
      <c r="G9" s="5"/>
      <c r="H9" s="2"/>
    </row>
    <row r="10" customFormat="false" ht="13.8" hidden="false" customHeight="false" outlineLevel="0" collapsed="false">
      <c r="A10" s="5" t="s">
        <v>14</v>
      </c>
      <c r="B10" s="2" t="n">
        <v>0.1</v>
      </c>
      <c r="C10" s="2" t="n">
        <f aca="false">LN(10)*$B$32*$B$31*B10</f>
        <v>560.941358343738</v>
      </c>
      <c r="D10" s="5" t="n">
        <v>216.033333333333</v>
      </c>
      <c r="E10" s="5" t="n">
        <f aca="false">D10/C10</f>
        <v>0.385126413162337</v>
      </c>
      <c r="F10" s="6"/>
      <c r="G10" s="5"/>
      <c r="H10" s="2"/>
    </row>
    <row r="11" customFormat="false" ht="13.8" hidden="false" customHeight="false" outlineLevel="0" collapsed="false">
      <c r="A11" s="5" t="s">
        <v>15</v>
      </c>
      <c r="B11" s="2" t="n">
        <v>0.36</v>
      </c>
      <c r="C11" s="2" t="n">
        <f aca="false">LN(10)*$B$32*$B$31*B11</f>
        <v>2019.38889003746</v>
      </c>
      <c r="D11" s="5" t="n">
        <v>215.3</v>
      </c>
      <c r="E11" s="5" t="n">
        <f aca="false">D11/C11</f>
        <v>0.106616413045635</v>
      </c>
      <c r="F11" s="6"/>
      <c r="G11" s="5"/>
      <c r="H11" s="2"/>
    </row>
    <row r="12" customFormat="false" ht="13.8" hidden="false" customHeight="false" outlineLevel="0" collapsed="false">
      <c r="A12" s="5" t="s">
        <v>16</v>
      </c>
      <c r="B12" s="2" t="n">
        <v>-0.98</v>
      </c>
      <c r="C12" s="2" t="n">
        <f aca="false">LN(10)*$B$32*$B$31*B12</f>
        <v>-5497.22531176863</v>
      </c>
      <c r="D12" s="5" t="n">
        <v>215.3</v>
      </c>
      <c r="E12" s="5" t="n">
        <f aca="false">D12/C12</f>
        <v>-0.0391652129555394</v>
      </c>
      <c r="F12" s="6"/>
      <c r="G12" s="5"/>
      <c r="H12" s="2"/>
    </row>
    <row r="13" customFormat="false" ht="13.8" hidden="false" customHeight="false" outlineLevel="0" collapsed="false">
      <c r="A13" s="5" t="s">
        <v>17</v>
      </c>
      <c r="B13" s="2" t="n">
        <v>0</v>
      </c>
      <c r="C13" s="2" t="n">
        <f aca="false">LN(10)*$B$32*$B$31*B13</f>
        <v>0</v>
      </c>
      <c r="D13" s="5" t="n">
        <v>95.7666666666667</v>
      </c>
      <c r="E13" s="5"/>
      <c r="F13" s="6"/>
      <c r="G13" s="5"/>
      <c r="H13" s="2"/>
    </row>
    <row r="14" customFormat="false" ht="13.8" hidden="false" customHeight="false" outlineLevel="0" collapsed="false">
      <c r="A14" s="5" t="s">
        <v>18</v>
      </c>
      <c r="B14" s="2" t="n">
        <v>0.39</v>
      </c>
      <c r="C14" s="2" t="n">
        <f aca="false">LN(10)*$B$32*$B$31*B14</f>
        <v>2187.67129754058</v>
      </c>
      <c r="D14" s="5" t="n">
        <v>202.533333333333</v>
      </c>
      <c r="E14" s="5" t="n">
        <f aca="false">D14/C14</f>
        <v>0.0925794170088645</v>
      </c>
      <c r="F14" s="6"/>
      <c r="G14" s="5"/>
      <c r="H14" s="2"/>
    </row>
    <row r="15" customFormat="false" ht="13.8" hidden="false" customHeight="false" outlineLevel="0" collapsed="false">
      <c r="A15" s="5" t="s">
        <v>19</v>
      </c>
      <c r="B15" s="6" t="n">
        <v>-0.84</v>
      </c>
      <c r="C15" s="2" t="n">
        <f aca="false">LN(10)*$B$32*$B$31*B15</f>
        <v>-4711.9074100874</v>
      </c>
      <c r="D15" s="5" t="n">
        <v>202.533333333333</v>
      </c>
      <c r="E15" s="5" t="n">
        <f aca="false">D15/C15</f>
        <v>-0.0429833007541157</v>
      </c>
      <c r="F15" s="6"/>
      <c r="G15" s="5"/>
      <c r="H15" s="2"/>
    </row>
    <row r="16" customFormat="false" ht="13.8" hidden="false" customHeight="false" outlineLevel="0" collapsed="false">
      <c r="A16" s="5" t="s">
        <v>20</v>
      </c>
      <c r="B16" s="2" t="n">
        <v>1.55</v>
      </c>
      <c r="C16" s="2" t="n">
        <f aca="false">LN(10)*$B$32*$B$31*B16</f>
        <v>8694.59105432794</v>
      </c>
      <c r="D16" s="5" t="n">
        <v>420.466666666667</v>
      </c>
      <c r="E16" s="9" t="n">
        <f aca="false">D16/C16</f>
        <v>0.0483595679244016</v>
      </c>
      <c r="F16" s="6" t="s">
        <v>6</v>
      </c>
      <c r="G16" s="5"/>
      <c r="H16" s="2"/>
    </row>
    <row r="17" customFormat="false" ht="13.8" hidden="false" customHeight="false" outlineLevel="0" collapsed="false">
      <c r="A17" s="5" t="s">
        <v>21</v>
      </c>
      <c r="B17" s="2" t="n">
        <v>1.64</v>
      </c>
      <c r="C17" s="2" t="n">
        <f aca="false">LN(10)*$B$32*$B$31*B17</f>
        <v>9199.4382768373</v>
      </c>
      <c r="D17" s="5" t="n">
        <v>401.2</v>
      </c>
      <c r="E17" s="9" t="n">
        <f aca="false">D17/C17</f>
        <v>0.04361135842502</v>
      </c>
      <c r="F17" s="6" t="s">
        <v>6</v>
      </c>
      <c r="G17" s="5"/>
      <c r="H17" s="2"/>
    </row>
    <row r="18" customFormat="false" ht="13.8" hidden="false" customHeight="false" outlineLevel="0" collapsed="false">
      <c r="A18" s="5" t="s">
        <v>22</v>
      </c>
      <c r="B18" s="2" t="n">
        <v>-0.12</v>
      </c>
      <c r="C18" s="2" t="n">
        <f aca="false">LN(10)*$B$32*$B$31*B18</f>
        <v>-673.129630012486</v>
      </c>
      <c r="D18" s="5" t="n">
        <v>287.433333333333</v>
      </c>
      <c r="E18" s="5" t="n">
        <f aca="false">D18/C18</f>
        <v>-0.427010371431728</v>
      </c>
      <c r="F18" s="6"/>
      <c r="G18" s="5"/>
      <c r="H18" s="2"/>
    </row>
    <row r="19" customFormat="false" ht="13.8" hidden="false" customHeight="false" outlineLevel="0" collapsed="false">
      <c r="A19" s="5" t="s">
        <v>23</v>
      </c>
      <c r="B19" s="2" t="n">
        <v>-1.14</v>
      </c>
      <c r="C19" s="2" t="n">
        <f aca="false">LN(10)*$B$32*$B$31*B19</f>
        <v>-6394.73148511861</v>
      </c>
      <c r="D19" s="5" t="n">
        <v>287.433333333333</v>
      </c>
      <c r="E19" s="5" t="n">
        <f aca="false">D19/C19</f>
        <v>-0.0449484601507082</v>
      </c>
      <c r="F19" s="6"/>
      <c r="G19" s="5"/>
      <c r="H19" s="2"/>
    </row>
    <row r="20" customFormat="false" ht="13.8" hidden="false" customHeight="false" outlineLevel="0" collapsed="false">
      <c r="A20" s="5" t="s">
        <v>24</v>
      </c>
      <c r="B20" s="2" t="n">
        <v>1.42</v>
      </c>
      <c r="C20" s="2" t="n">
        <f aca="false">LN(10)*$B$32*$B$31*B20</f>
        <v>7965.36728848108</v>
      </c>
      <c r="D20" s="5" t="n">
        <v>186.366666666667</v>
      </c>
      <c r="E20" s="10" t="n">
        <f aca="false">D20/C20</f>
        <v>0.0233971215534752</v>
      </c>
      <c r="F20" s="6" t="s">
        <v>6</v>
      </c>
      <c r="G20" s="5"/>
      <c r="H20" s="2"/>
    </row>
    <row r="21" customFormat="false" ht="13.8" hidden="false" customHeight="false" outlineLevel="0" collapsed="false">
      <c r="A21" s="5" t="s">
        <v>25</v>
      </c>
      <c r="B21" s="2" t="n">
        <v>1.63</v>
      </c>
      <c r="C21" s="2" t="n">
        <f aca="false">LN(10)*$B$32*$B$31*B21</f>
        <v>9143.34414100293</v>
      </c>
      <c r="D21" s="5" t="n">
        <v>394.3</v>
      </c>
      <c r="E21" s="9" t="n">
        <f aca="false">D21/C21</f>
        <v>0.043124265467793</v>
      </c>
      <c r="F21" s="6" t="s">
        <v>6</v>
      </c>
      <c r="G21" s="5"/>
      <c r="H21" s="2"/>
    </row>
    <row r="22" customFormat="false" ht="13.8" hidden="false" customHeight="false" outlineLevel="0" collapsed="false">
      <c r="A22" s="5" t="s">
        <v>26</v>
      </c>
      <c r="B22" s="2" t="n">
        <v>0.77</v>
      </c>
      <c r="C22" s="2" t="n">
        <f aca="false">LN(10)*$B$32*$B$31*B22</f>
        <v>4319.24845924678</v>
      </c>
      <c r="D22" s="5" t="n">
        <v>181.333333333333</v>
      </c>
      <c r="E22" s="9" t="n">
        <f aca="false">D22/C22</f>
        <v>0.0419826122632814</v>
      </c>
      <c r="F22" s="6" t="s">
        <v>6</v>
      </c>
      <c r="G22" s="5"/>
    </row>
    <row r="23" customFormat="false" ht="13.8" hidden="false" customHeight="false" outlineLevel="0" collapsed="false">
      <c r="A23" s="5" t="s">
        <v>27</v>
      </c>
      <c r="B23" s="2" t="n">
        <v>-0.08</v>
      </c>
      <c r="C23" s="2" t="n">
        <f aca="false">LN(10)*$B$32*$B$31*B23</f>
        <v>-448.75308667499</v>
      </c>
      <c r="D23" s="5" t="n">
        <v>109.966666666667</v>
      </c>
      <c r="E23" s="5" t="n">
        <f aca="false">D23/C23</f>
        <v>-0.245049382237031</v>
      </c>
      <c r="F23" s="6"/>
      <c r="G23" s="5"/>
    </row>
    <row r="24" customFormat="false" ht="13.8" hidden="false" customHeight="false" outlineLevel="0" collapsed="false">
      <c r="A24" s="5" t="s">
        <v>28</v>
      </c>
      <c r="B24" s="2" t="n">
        <v>0.33</v>
      </c>
      <c r="C24" s="2" t="n">
        <f aca="false">LN(10)*$B$32*$B$31*B24</f>
        <v>1851.10648253434</v>
      </c>
      <c r="D24" s="5" t="n">
        <v>208.333333333333</v>
      </c>
      <c r="E24" s="5" t="n">
        <f aca="false">D24/C24</f>
        <v>0.112545299419029</v>
      </c>
      <c r="F24" s="6"/>
      <c r="G24" s="5"/>
    </row>
    <row r="25" customFormat="false" ht="13.8" hidden="false" customHeight="false" outlineLevel="0" collapsed="false">
      <c r="A25" s="5" t="s">
        <v>29</v>
      </c>
      <c r="B25" s="2" t="n">
        <v>1.14</v>
      </c>
      <c r="C25" s="2" t="n">
        <f aca="false">LN(10)*$B$32*$B$31*B25</f>
        <v>6394.73148511861</v>
      </c>
      <c r="D25" s="5" t="n">
        <v>469.8</v>
      </c>
      <c r="E25" s="10" t="n">
        <f aca="false">D25/C25</f>
        <v>0.073466728211073</v>
      </c>
      <c r="F25" s="6" t="s">
        <v>6</v>
      </c>
      <c r="G25" s="5"/>
    </row>
    <row r="26" customFormat="false" ht="13.8" hidden="false" customHeight="false" outlineLevel="0" collapsed="false">
      <c r="A26" s="5" t="s">
        <v>30</v>
      </c>
      <c r="B26" s="2" t="n">
        <v>0.88</v>
      </c>
      <c r="C26" s="2" t="n">
        <f aca="false">LN(10)*$B$32*$B$31*B26</f>
        <v>4936.2839534249</v>
      </c>
      <c r="D26" s="5" t="n">
        <v>320.866666666667</v>
      </c>
      <c r="E26" s="5" t="n">
        <f aca="false">D26/C26</f>
        <v>0.0650016631324547</v>
      </c>
      <c r="F26" s="6"/>
      <c r="G26" s="5"/>
    </row>
    <row r="27" customFormat="false" ht="13.8" hidden="false" customHeight="false" outlineLevel="0" collapsed="false">
      <c r="A27" s="5" t="s">
        <v>31</v>
      </c>
      <c r="B27" s="2" t="n">
        <v>1.18</v>
      </c>
      <c r="C27" s="2" t="n">
        <f aca="false">LN(10)*$B$32*$B$31*B27</f>
        <v>6619.10802845611</v>
      </c>
      <c r="D27" s="5" t="n">
        <v>328.733333333333</v>
      </c>
      <c r="E27" s="9" t="n">
        <f aca="false">D27/C27</f>
        <v>0.0496642949352209</v>
      </c>
      <c r="F27" s="6" t="s">
        <v>6</v>
      </c>
      <c r="G27" s="5"/>
    </row>
    <row r="28" customFormat="false" ht="13.8" hidden="false" customHeight="false" outlineLevel="0" collapsed="false">
      <c r="H28" s="2"/>
      <c r="I28" s="2"/>
    </row>
    <row r="29" customFormat="false" ht="13.8" hidden="false" customHeight="false" outlineLevel="0" collapsed="false">
      <c r="A29" s="5" t="s">
        <v>32</v>
      </c>
      <c r="B29" s="5"/>
      <c r="C29" s="5"/>
      <c r="D29" s="5"/>
      <c r="E29" s="11" t="n">
        <f aca="false">AVERAGE(E2,E16,E17,E20,E21,E22,E25,E27)</f>
        <v>0.0504562458064837</v>
      </c>
      <c r="F29" s="6" t="n">
        <f aca="false">E29/2</f>
        <v>0.0252281229032419</v>
      </c>
      <c r="G29" s="5"/>
    </row>
    <row r="30" customFormat="false" ht="13.8" hidden="false" customHeight="false" outlineLevel="0" collapsed="false">
      <c r="A30" s="1" t="s">
        <v>33</v>
      </c>
      <c r="E30" s="12" t="n">
        <f aca="false">STDEV(E2,E16,E17,E20,E21,E22,E25,E27)</f>
        <v>0.0181837874354137</v>
      </c>
    </row>
    <row r="31" customFormat="false" ht="13.8" hidden="false" customHeight="false" outlineLevel="0" collapsed="false">
      <c r="A31" s="1" t="s">
        <v>34</v>
      </c>
      <c r="B31" s="13" t="n">
        <v>293</v>
      </c>
      <c r="C31" s="1" t="s">
        <v>35</v>
      </c>
    </row>
    <row r="32" customFormat="false" ht="13.8" hidden="false" customHeight="false" outlineLevel="0" collapsed="false">
      <c r="A32" s="1" t="s">
        <v>36</v>
      </c>
      <c r="B32" s="1" t="n">
        <v>8.314462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2025-11-12T14:27:27Z</dcterms:created>
  <dc:creator/>
  <dc:description/>
  <dc:language>en-US</dc:language>
  <cp:lastModifiedBy/>
  <dcterms:modified xsi:type="dcterms:W3CDTF">2025-11-27T18:28:43Z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